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836BD262-0292-463E-BBC2-D0D7DE52CFD8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Análises " sheetId="2" r:id="rId1"/>
    <sheet name="Dados" sheetId="1" r:id="rId2"/>
    <sheet name="Z-Score" sheetId="3" r:id="rId3"/>
  </sheets>
  <definedNames>
    <definedName name="_xlnm._FilterDatabase" localSheetId="1" hidden="1">Dados!$A$1:$G$28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 a="1"/>
  <c r="F11" i="2"/>
  <c r="F12" i="2" a="1"/>
  <c r="F12" i="2"/>
  <c r="F10" i="2" a="1"/>
  <c r="F10" i="2"/>
  <c r="D11" i="2" a="1"/>
  <c r="D11" i="2"/>
  <c r="D12" i="2" a="1"/>
  <c r="D12" i="2"/>
  <c r="D10" i="2" a="1"/>
  <c r="D10" i="2"/>
  <c r="B10" i="2" a="1"/>
  <c r="B10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" i="3"/>
  <c r="K5" i="3"/>
  <c r="J5" i="3"/>
  <c r="K4" i="3"/>
  <c r="J4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" i="3"/>
  <c r="K3" i="3"/>
  <c r="J3" i="3"/>
  <c r="K2" i="3"/>
  <c r="J2" i="3"/>
  <c r="G6" i="2" a="1"/>
  <c r="G6" i="2"/>
  <c r="F6" i="2" a="1"/>
  <c r="F6" i="2"/>
  <c r="F5" i="2" a="1"/>
  <c r="F5" i="2"/>
  <c r="G5" i="2" a="1"/>
  <c r="G5" i="2"/>
  <c r="F4" i="2" a="1"/>
  <c r="F4" i="2"/>
  <c r="G3" i="2"/>
  <c r="F3" i="2"/>
  <c r="G4" i="2" a="1"/>
  <c r="G4" i="2"/>
  <c r="F2" i="3" l="1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B16" i="2" l="1" a="1"/>
  <c r="B16" i="2" l="1"/>
  <c r="G17" i="2" a="1"/>
  <c r="G17" i="2" s="1"/>
  <c r="G18" i="2" a="1"/>
  <c r="G18" i="2" s="1"/>
  <c r="F17" i="2" a="1"/>
  <c r="F17" i="2" s="1"/>
  <c r="F18" i="2" a="1"/>
  <c r="F18" i="2" s="1"/>
  <c r="E17" i="2" a="1"/>
  <c r="E17" i="2" s="1"/>
  <c r="E18" i="2" a="1"/>
  <c r="E18" i="2" s="1"/>
  <c r="D17" i="2" a="1"/>
  <c r="D17" i="2" s="1"/>
  <c r="D18" i="2" a="1"/>
  <c r="D18" i="2" s="1"/>
  <c r="C17" i="2" a="1"/>
  <c r="C17" i="2" s="1"/>
  <c r="C18" i="2" a="1"/>
  <c r="C18" i="2" s="1"/>
  <c r="G16" i="2" l="1" a="1"/>
  <c r="G16" i="2" s="1"/>
  <c r="F16" i="2" a="1"/>
  <c r="F16" i="2" s="1"/>
  <c r="E16" i="2" a="1"/>
  <c r="E16" i="2" s="1"/>
  <c r="D16" i="2" a="1"/>
  <c r="D16" i="2" s="1"/>
  <c r="C16" i="2" a="1"/>
  <c r="C1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<sst xmlns="http://schemas.openxmlformats.org/spreadsheetml/2006/main" count="92" uniqueCount="55">
  <si>
    <t>IDH</t>
  </si>
  <si>
    <t>Abaixo de 0.75</t>
  </si>
  <si>
    <t>Igual ou Acima de 0.75</t>
  </si>
  <si>
    <t xml:space="preserve">Relação da Média do PIB das Cidades com o IDH </t>
  </si>
  <si>
    <t>Média por Fecundidade</t>
  </si>
  <si>
    <t>Média da Taxa de Desemprego</t>
  </si>
  <si>
    <t>Mediana da Taxa de Desemprego</t>
  </si>
  <si>
    <t>Três Municípios com maior Desigualdade</t>
  </si>
  <si>
    <t>Municípios</t>
  </si>
  <si>
    <t>PIB per capita</t>
  </si>
  <si>
    <t>Taxa de Desemprego</t>
  </si>
  <si>
    <t>Três Cidades que Apresentam os Piores Indicadores Sociais</t>
  </si>
  <si>
    <t>Gini</t>
  </si>
  <si>
    <t>Z-Score</t>
  </si>
  <si>
    <t>Municipio</t>
  </si>
  <si>
    <t>Populacao</t>
  </si>
  <si>
    <t>TaxaDesemprego</t>
  </si>
  <si>
    <t>PIB_per_capita</t>
  </si>
  <si>
    <t>TaxaFecundidade</t>
  </si>
  <si>
    <t>Maceió</t>
  </si>
  <si>
    <t>Macapá</t>
  </si>
  <si>
    <t>Manaus</t>
  </si>
  <si>
    <t>São Luís</t>
  </si>
  <si>
    <t>Rio Branco</t>
  </si>
  <si>
    <t>Recife</t>
  </si>
  <si>
    <t>Porto Velho</t>
  </si>
  <si>
    <t>Belém</t>
  </si>
  <si>
    <t>Salvador</t>
  </si>
  <si>
    <t>Fortaleza</t>
  </si>
  <si>
    <t>Teresina</t>
  </si>
  <si>
    <t>Boa Vista</t>
  </si>
  <si>
    <t>Aracaju</t>
  </si>
  <si>
    <t>Natal</t>
  </si>
  <si>
    <t>Palmas</t>
  </si>
  <si>
    <t>Rio de Janeiro</t>
  </si>
  <si>
    <t>João Pessoa</t>
  </si>
  <si>
    <t>São Paulo</t>
  </si>
  <si>
    <t>Cuiabá</t>
  </si>
  <si>
    <t>Campo Grande</t>
  </si>
  <si>
    <t>Belo Horizonte</t>
  </si>
  <si>
    <t>Goiânia</t>
  </si>
  <si>
    <t>Curitiba</t>
  </si>
  <si>
    <t>Brasília</t>
  </si>
  <si>
    <t>Porto Alegre</t>
  </si>
  <si>
    <t>Vitória</t>
  </si>
  <si>
    <t>Florianópolis</t>
  </si>
  <si>
    <t>IDH_Z</t>
  </si>
  <si>
    <t>Taxa_Desemprego_Z</t>
  </si>
  <si>
    <t>PIB_per_capita_Z</t>
  </si>
  <si>
    <t>Gini_Z</t>
  </si>
  <si>
    <t>Soma</t>
  </si>
  <si>
    <t>Variável</t>
  </si>
  <si>
    <t>Desvio</t>
  </si>
  <si>
    <t>Média</t>
  </si>
  <si>
    <t>Taxa_Desemprego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</si>
</sst>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[$R$ -416]#,##0.00"/>
    <numFmt numFmtId="167" formatCode="&quot;R$&quot;\ #,##0.00"/>
  </numFmts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venir Next LT Pro"/>
    </font>
    <font>
      <sz val="12"/>
      <color rgb="FF000000"/>
      <name val="Avenir Next LT Pro"/>
    </font>
    <font>
      <u/>
      <sz val="10"/>
      <color theme="10"/>
      <name val="Arial"/>
      <scheme val="minor"/>
    </font>
    <font>
      <sz val="12"/>
      <color theme="0"/>
      <name val="Avenir Next LT Pro"/>
    </font>
    <font>
      <b/>
      <sz val="10"/>
      <color theme="0"/>
      <name val="Avenir Next LT Pro"/>
    </font>
    <font>
      <sz val="12"/>
      <color theme="1" tint="0.34998626667073579"/>
      <name val="Avenir Next LT Pro"/>
    </font>
    <font>
      <sz val="12"/>
      <color rgb="FF3E82F7"/>
      <name val="Avenir Next LT Pro"/>
    </font>
    <font>
      <sz val="10"/>
      <color theme="0"/>
      <name val="Avenir Next LT Pro"/>
    </font>
    <font>
      <sz val="10"/>
      <color theme="1" tint="0.499984740745262"/>
      <name val="Avenir Next LT Pro"/>
    </font>
  </fonts>
  <fills count="7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3E82F7"/>
        <bgColor indexed="64"/>
      </patternFill>
    </fill>
    <fill>
      <patternFill patternType="solid">
        <fgColor rgb="FFEDF3FE"/>
        <bgColor indexed="64"/>
      </patternFill>
    </fill>
    <fill>
      <patternFill patternType="solid">
        <fgColor rgb="FF93BBFB"/>
        <bgColor indexed="64"/>
      </patternFill>
    </fill>
    <fill>
      <patternFill patternType="solid">
        <fgColor rgb="FFFAFAFA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0" borderId="0" xfId="0" applyFont="1"/>
    <xf numFmtId="0" fontId="6" fillId="3" borderId="0" xfId="0" applyFont="1" applyFill="1" applyAlignment="1">
      <alignment horizontal="center" vertical="center"/>
    </xf>
    <xf numFmtId="0" fontId="8" fillId="0" borderId="2" xfId="0" applyFont="1" applyFill="1" applyBorder="1"/>
    <xf numFmtId="2" fontId="4" fillId="4" borderId="2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7" fillId="3" borderId="0" xfId="0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wrapText="1"/>
    </xf>
    <xf numFmtId="167" fontId="4" fillId="5" borderId="2" xfId="0" applyNumberFormat="1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67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2" fontId="5" fillId="6" borderId="0" xfId="1" applyNumberFormat="1" applyFill="1" applyAlignment="1">
      <alignment horizontal="center" vertical="center"/>
    </xf>
    <xf numFmtId="0" fontId="8" fillId="0" borderId="1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3E82F7"/>
      <color rgb="FFFAFAFA"/>
      <color rgb="FFF3F3F3"/>
      <color rgb="FF93BBFB"/>
      <color rgb="FFEDF3FE"/>
      <color rgb="FFB4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Índice de Gini X PIB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{"Índice de Gini X PIB per capita"}</c:f>
              <c:strCache>
                <c:ptCount val="1"/>
                <c:pt idx="0">
                  <c:v>Índice de Gini X PIB per capita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B3CEFB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Dados!D2:D28</c:f>
              <c:numCache>
                <c:formatCode>0.00</c:formatCode>
                <c:ptCount val="27"/>
                <c:pt idx="0">
                  <c:v>0.61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0.59</c:v>
                </c:pt>
                <c:pt idx="5">
                  <c:v>0.59</c:v>
                </c:pt>
                <c:pt idx="6">
                  <c:v>0.57999999999999996</c:v>
                </c:pt>
                <c:pt idx="7">
                  <c:v>0.57999999999999996</c:v>
                </c:pt>
                <c:pt idx="8">
                  <c:v>0.57999999999999996</c:v>
                </c:pt>
                <c:pt idx="9">
                  <c:v>0.56999999999999995</c:v>
                </c:pt>
                <c:pt idx="10">
                  <c:v>0.56000000000000005</c:v>
                </c:pt>
                <c:pt idx="11">
                  <c:v>0.56000000000000005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0.54</c:v>
                </c:pt>
                <c:pt idx="15">
                  <c:v>0.54</c:v>
                </c:pt>
                <c:pt idx="16">
                  <c:v>0.53</c:v>
                </c:pt>
                <c:pt idx="17">
                  <c:v>0.53</c:v>
                </c:pt>
                <c:pt idx="18">
                  <c:v>0.5</c:v>
                </c:pt>
                <c:pt idx="19">
                  <c:v>0.49</c:v>
                </c:pt>
                <c:pt idx="20">
                  <c:v>0.48</c:v>
                </c:pt>
                <c:pt idx="21">
                  <c:v>0.47</c:v>
                </c:pt>
                <c:pt idx="22">
                  <c:v>0.46</c:v>
                </c:pt>
                <c:pt idx="23">
                  <c:v>0.45</c:v>
                </c:pt>
                <c:pt idx="24">
                  <c:v>0.44</c:v>
                </c:pt>
                <c:pt idx="25">
                  <c:v>0.43</c:v>
                </c:pt>
                <c:pt idx="26">
                  <c:v>0.42</c:v>
                </c:pt>
              </c:numCache>
            </c:numRef>
          </c:xVal>
          <c:yVal>
            <c:numRef>
              <c:f>Dados!$F$2:$F$28</c:f>
              <c:numCache>
                <c:formatCode>[$R$ -416]#,##0.00</c:formatCode>
                <c:ptCount val="27"/>
                <c:pt idx="0">
                  <c:v>21000</c:v>
                </c:pt>
                <c:pt idx="1">
                  <c:v>22000</c:v>
                </c:pt>
                <c:pt idx="2">
                  <c:v>25000</c:v>
                </c:pt>
                <c:pt idx="3">
                  <c:v>22000</c:v>
                </c:pt>
                <c:pt idx="4">
                  <c:v>21000</c:v>
                </c:pt>
                <c:pt idx="5">
                  <c:v>24000</c:v>
                </c:pt>
                <c:pt idx="6">
                  <c:v>24000</c:v>
                </c:pt>
                <c:pt idx="7">
                  <c:v>23000</c:v>
                </c:pt>
                <c:pt idx="8">
                  <c:v>27000</c:v>
                </c:pt>
                <c:pt idx="9">
                  <c:v>26000</c:v>
                </c:pt>
                <c:pt idx="10">
                  <c:v>23000</c:v>
                </c:pt>
                <c:pt idx="11">
                  <c:v>28000</c:v>
                </c:pt>
                <c:pt idx="12">
                  <c:v>27000</c:v>
                </c:pt>
                <c:pt idx="13">
                  <c:v>26000</c:v>
                </c:pt>
                <c:pt idx="14">
                  <c:v>27000</c:v>
                </c:pt>
                <c:pt idx="15">
                  <c:v>40000</c:v>
                </c:pt>
                <c:pt idx="16">
                  <c:v>25000</c:v>
                </c:pt>
                <c:pt idx="17">
                  <c:v>48000</c:v>
                </c:pt>
                <c:pt idx="18">
                  <c:v>29000</c:v>
                </c:pt>
                <c:pt idx="19">
                  <c:v>32000</c:v>
                </c:pt>
                <c:pt idx="20">
                  <c:v>35000</c:v>
                </c:pt>
                <c:pt idx="21">
                  <c:v>31000</c:v>
                </c:pt>
                <c:pt idx="22">
                  <c:v>38000</c:v>
                </c:pt>
                <c:pt idx="23">
                  <c:v>55000</c:v>
                </c:pt>
                <c:pt idx="24">
                  <c:v>42000</c:v>
                </c:pt>
                <c:pt idx="25">
                  <c:v>50000</c:v>
                </c:pt>
                <c:pt idx="26">
                  <c:v>58000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E6-4FD8-86D1-B35E952A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44968"/>
        <c:axId val="50347016"/>
      </c:scatterChart>
      <c:valAx>
        <c:axId val="5034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Índice de 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7016"/>
        <c:crosses val="autoZero"/>
        <c:crossBetween val="midCat"/>
      </c:valAx>
      <c:valAx>
        <c:axId val="5034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PIB per 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$ -416]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4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0</xdr:row>
      <xdr:rowOff>152400</xdr:rowOff>
    </xdr:from>
    <xdr:to>
      <xdr:col>15</xdr:col>
      <xdr:colOff>180975</xdr:colOff>
      <xdr:row>16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5AAF7-6FE6-411F-891A-6195D6F67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DE38-2C6F-40A9-805D-DA0E4B27A01E}">
  <dimension ref="A2:H18"/>
  <sheetViews>
    <sheetView showGridLines="0" tabSelected="1" workbookViewId="0">
      <selection activeCell="F10" sqref="F10:G12"/>
    </sheetView>
  </sheetViews>
  <sheetFormatPr defaultRowHeight="12.75"/>
  <cols>
    <col min="1" max="1" width="3.5703125" style="9" customWidth="1"/>
    <col min="2" max="2" width="19" style="9" customWidth="1"/>
    <col min="3" max="3" width="19.5703125" style="9" customWidth="1"/>
    <col min="4" max="4" width="21.5703125" style="9" customWidth="1"/>
    <col min="5" max="5" width="22" style="9" customWidth="1"/>
    <col min="6" max="6" width="19.42578125" style="9" bestFit="1" customWidth="1"/>
    <col min="7" max="7" width="22.28515625" style="9" bestFit="1" customWidth="1"/>
    <col min="8" max="8" width="21.5703125" style="9" bestFit="1" customWidth="1"/>
    <col min="9" max="16384" width="9.140625" style="9"/>
  </cols>
  <sheetData>
    <row r="2" spans="1:8" ht="21" customHeight="1">
      <c r="B2" s="10" t="s">
        <v>0</v>
      </c>
      <c r="C2" s="10"/>
      <c r="D2" s="10"/>
      <c r="E2" s="27"/>
      <c r="F2" s="15" t="s">
        <v>1</v>
      </c>
      <c r="G2" s="15" t="s">
        <v>2</v>
      </c>
    </row>
    <row r="3" spans="1:8" ht="18.75" customHeight="1">
      <c r="A3" s="14"/>
      <c r="B3" s="17" t="s">
        <v>3</v>
      </c>
      <c r="C3" s="17"/>
      <c r="D3" s="17"/>
      <c r="E3" s="17"/>
      <c r="F3" s="16">
        <f>SUMIF(Dados!C2:C28,"&lt;0,75",Dados!F2:F28)/COUNTIF(Dados!C2:C28,"&lt;0,75")</f>
        <v>22777.777777777777</v>
      </c>
      <c r="G3" s="18">
        <f>SUMIF(Dados!C2:C28,"&gt;=0,75",Dados!F2:F28)/COUNTIF(Dados!C2:C28,"&gt;=0,75")</f>
        <v>35777.777777777781</v>
      </c>
    </row>
    <row r="4" spans="1:8" ht="18.75" customHeight="1">
      <c r="B4" s="31" t="s">
        <v>4</v>
      </c>
      <c r="C4" s="31"/>
      <c r="D4" s="31"/>
      <c r="E4" s="11"/>
      <c r="F4" s="12" cm="1">
        <f t="array" ref="F4">AVERAGE(_xlfn._xlws.FILTER(Dados!G2:G28,Dados!C2:C28&lt;0.75))</f>
        <v>2.3744444444444444</v>
      </c>
      <c r="G4" s="13" cm="1">
        <f t="array" ref="G4">AVERAGE(_xlfn._xlws.FILTER(Dados!G2:G28,Dados!C2:C28&gt;=0.75))</f>
        <v>1.9300000000000002</v>
      </c>
    </row>
    <row r="5" spans="1:8" ht="18.75" customHeight="1">
      <c r="B5" s="31" t="s">
        <v>5</v>
      </c>
      <c r="C5" s="31"/>
      <c r="D5" s="31"/>
      <c r="E5" s="11"/>
      <c r="F5" s="12" cm="1">
        <f t="array" ref="F5">AVERAGE(_xlfn._xlws.FILTER(Dados!E2:E28,Dados!C2:C28&lt;0.75))</f>
        <v>14.100000000000001</v>
      </c>
      <c r="G5" s="13" cm="1">
        <f t="array" ref="G5">AVERAGE(_xlfn._xlws.FILTER(Dados!E2:E28,Dados!C2:C28&gt;=0.75))</f>
        <v>9.7944444444444443</v>
      </c>
    </row>
    <row r="6" spans="1:8" ht="18.75" customHeight="1">
      <c r="B6" s="31" t="s">
        <v>6</v>
      </c>
      <c r="C6" s="31"/>
      <c r="D6" s="31"/>
      <c r="E6" s="11"/>
      <c r="F6" s="12" cm="1">
        <f t="array" ref="F6">MEDIAN(_xlfn._xlws.FILTER(Dados!E2:E28,Dados!C2:C28&lt;0.75))</f>
        <v>14.2</v>
      </c>
      <c r="G6" s="13" cm="1">
        <f t="array" ref="G6">MEDIAN(_xlfn._xlws.FILTER(Dados!E2:E28,Dados!C2:C28&gt;=0.75))</f>
        <v>9.6999999999999993</v>
      </c>
    </row>
    <row r="7" spans="1:8" ht="18.75" customHeight="1"/>
    <row r="8" spans="1:8" ht="28.5" customHeight="1">
      <c r="B8" s="21" t="s">
        <v>7</v>
      </c>
      <c r="C8" s="21"/>
      <c r="D8" s="21"/>
      <c r="E8" s="21"/>
      <c r="F8" s="21"/>
      <c r="G8" s="21"/>
      <c r="H8" s="14"/>
    </row>
    <row r="9" spans="1:8" ht="18.75" customHeight="1">
      <c r="B9" s="23" t="s">
        <v>8</v>
      </c>
      <c r="C9" s="23"/>
      <c r="D9" s="22" t="s">
        <v>9</v>
      </c>
      <c r="E9" s="22"/>
      <c r="F9" s="23" t="s">
        <v>10</v>
      </c>
      <c r="G9" s="23"/>
      <c r="H9" s="14"/>
    </row>
    <row r="10" spans="1:8" ht="18.75" customHeight="1">
      <c r="B10" s="28" t="str" cm="1">
        <f t="array" ref="B10:B13">_xlfn._xlws.FILTER(Dados!A2:A28,Dados!D2:D28 &gt;= LARGE(Dados!D2:D28, 3))</f>
        <v>Maceió</v>
      </c>
      <c r="C10" s="28"/>
      <c r="D10" s="24" cm="1">
        <f t="array" ref="D10">_xlfn._xlws.FILTER(Dados!$F$2:$F$28,Dados!$A$2:$A$28=B10)</f>
        <v>21000</v>
      </c>
      <c r="E10" s="24"/>
      <c r="F10" s="25" cm="1">
        <f t="array" ref="F10">_xlfn._xlws.FILTER(Dados!$E$2:$E$28,Dados!$A$2:$A$28=B10)</f>
        <v>16.100000000000001</v>
      </c>
      <c r="G10" s="25"/>
      <c r="H10" s="14"/>
    </row>
    <row r="11" spans="1:8" ht="18.75" customHeight="1">
      <c r="B11" s="28" t="str">
        <v>Macapá</v>
      </c>
      <c r="C11" s="28"/>
      <c r="D11" s="24" cm="1">
        <f t="array" ref="D11">_xlfn._xlws.FILTER(Dados!$F$2:$F$28,Dados!$A$2:$A$28=B11)</f>
        <v>22000</v>
      </c>
      <c r="E11" s="24"/>
      <c r="F11" s="25" cm="1">
        <f t="array" ref="F11">_xlfn._xlws.FILTER(Dados!$E$2:$E$28,Dados!$A$2:$A$28=B11)</f>
        <v>13.7</v>
      </c>
      <c r="G11" s="25"/>
    </row>
    <row r="12" spans="1:8" ht="18.75" customHeight="1">
      <c r="B12" s="28" t="str">
        <v>Manaus</v>
      </c>
      <c r="C12" s="28"/>
      <c r="D12" s="24" cm="1">
        <f t="array" ref="D12">_xlfn._xlws.FILTER(Dados!$F$2:$F$28,Dados!$A$2:$A$28=B12)</f>
        <v>25000</v>
      </c>
      <c r="E12" s="24"/>
      <c r="F12" s="25" cm="1">
        <f t="array" ref="F12">_xlfn._xlws.FILTER(Dados!$E$2:$E$28,Dados!$A$2:$A$28=B12)</f>
        <v>15.4</v>
      </c>
      <c r="G12" s="25"/>
    </row>
    <row r="13" spans="1:8">
      <c r="B13" s="19" t="str">
        <v>São Luís</v>
      </c>
      <c r="C13" s="19"/>
      <c r="D13" s="20"/>
      <c r="E13" s="20"/>
      <c r="F13" s="20"/>
    </row>
    <row r="14" spans="1:8" ht="28.5" customHeight="1">
      <c r="B14" s="21" t="s">
        <v>11</v>
      </c>
      <c r="C14" s="21"/>
      <c r="D14" s="21"/>
      <c r="E14" s="21"/>
      <c r="F14" s="21"/>
      <c r="G14" s="21"/>
    </row>
    <row r="15" spans="1:8" ht="18.75" customHeight="1">
      <c r="B15" s="22" t="s">
        <v>8</v>
      </c>
      <c r="C15" s="22" t="s">
        <v>0</v>
      </c>
      <c r="D15" s="22" t="s">
        <v>10</v>
      </c>
      <c r="E15" s="22" t="s">
        <v>9</v>
      </c>
      <c r="F15" s="22" t="s">
        <v>12</v>
      </c>
      <c r="G15" s="22" t="s">
        <v>13</v>
      </c>
    </row>
    <row r="16" spans="1:8" ht="18.75" customHeight="1">
      <c r="B16" s="28" t="str" cm="1">
        <f t="array" ref="B16:B18">_xlfn._xlws.FILTER(Dados!A2:A28,'Z-Score'!F2:F28 &gt;= LARGE('Z-Score'!F2:F28, 3))</f>
        <v>Maceió</v>
      </c>
      <c r="C16" s="29" cm="1">
        <f t="array" ref="C16">_xlfn._xlws.FILTER(Dados!$C$2:$C$28,Dados!$A$2:$A$28='Análises '!B16)</f>
        <v>0.70499999999999996</v>
      </c>
      <c r="D16" s="29" cm="1">
        <f t="array" ref="D16">_xlfn._xlws.FILTER(Dados!$E$2:$E$28,Dados!$A$2:$A$28='Análises '!B16)</f>
        <v>16.100000000000001</v>
      </c>
      <c r="E16" s="24" cm="1">
        <f t="array" ref="E16">_xlfn._xlws.FILTER(Dados!$F$2:$F$28,Dados!$A$2:$A$28='Análises '!B16)</f>
        <v>21000</v>
      </c>
      <c r="F16" s="29" cm="1">
        <f t="array" ref="F16">_xlfn._xlws.FILTER(Dados!$D$2:$D$28,Dados!$A$2:$A$28='Análises '!B16)</f>
        <v>0.61</v>
      </c>
      <c r="G16" s="30" cm="1">
        <f t="array" ref="G16">_xlfn._xlws.FILTER('Z-Score'!$F$2:$F$28,Dados!$A$2:$A$28='Análises '!B16)</f>
        <v>5.4854846797035703</v>
      </c>
    </row>
    <row r="17" spans="2:7" ht="18.75" customHeight="1">
      <c r="B17" s="28" t="str">
        <v>Manaus</v>
      </c>
      <c r="C17" s="29" cm="1">
        <f t="array" ref="C17">_xlfn._xlws.FILTER(Dados!$C$2:$C$28,Dados!$A$2:$A$28='Análises '!B17)</f>
        <v>0.72</v>
      </c>
      <c r="D17" s="29" cm="1">
        <f t="array" ref="D17">_xlfn._xlws.FILTER(Dados!$E$2:$E$28,Dados!$A$2:$A$28='Análises '!B17)</f>
        <v>15.4</v>
      </c>
      <c r="E17" s="24" cm="1">
        <f t="array" ref="E17">_xlfn._xlws.FILTER(Dados!$F$2:$F$28,Dados!$A$2:$A$28='Análises '!B17)</f>
        <v>25000</v>
      </c>
      <c r="F17" s="29" cm="1">
        <f t="array" ref="F17">_xlfn._xlws.FILTER(Dados!$D$2:$D$28,Dados!$A$2:$A$28='Análises '!B17)</f>
        <v>0.6</v>
      </c>
      <c r="G17" s="30" cm="1">
        <f t="array" ref="G17">_xlfn._xlws.FILTER('Z-Score'!$F$2:$F$28,Dados!$A$2:$A$28='Análises '!B17)</f>
        <v>4.3637849819218317</v>
      </c>
    </row>
    <row r="18" spans="2:7" ht="18.75" customHeight="1">
      <c r="B18" s="28" t="str">
        <v>São Luís</v>
      </c>
      <c r="C18" s="29" cm="1">
        <f t="array" ref="C18">_xlfn._xlws.FILTER(Dados!$C$2:$C$28,Dados!$A$2:$A$28='Análises '!B18)</f>
        <v>0.73</v>
      </c>
      <c r="D18" s="29" cm="1">
        <f t="array" ref="D18">_xlfn._xlws.FILTER(Dados!$E$2:$E$28,Dados!$A$2:$A$28='Análises '!B18)</f>
        <v>14.5</v>
      </c>
      <c r="E18" s="24" cm="1">
        <f t="array" ref="E18">_xlfn._xlws.FILTER(Dados!$F$2:$F$28,Dados!$A$2:$A$28='Análises '!B18)</f>
        <v>22000</v>
      </c>
      <c r="F18" s="29" cm="1">
        <f t="array" ref="F18">_xlfn._xlws.FILTER(Dados!$D$2:$D$28,Dados!$A$2:$A$28='Análises '!B18)</f>
        <v>0.6</v>
      </c>
      <c r="G18" s="30" cm="1">
        <f t="array" ref="G18">_xlfn._xlws.FILTER('Z-Score'!$F$2:$F$28,Dados!$A$2:$A$28='Análises '!B18)</f>
        <v>4.1134562455914834</v>
      </c>
    </row>
  </sheetData>
  <mergeCells count="12">
    <mergeCell ref="B14:G14"/>
    <mergeCell ref="B9:C9"/>
    <mergeCell ref="B3:E3"/>
    <mergeCell ref="B8:G8"/>
    <mergeCell ref="F9:G9"/>
    <mergeCell ref="F10:G10"/>
    <mergeCell ref="F11:G11"/>
    <mergeCell ref="F12:G12"/>
    <mergeCell ref="B2:D2"/>
    <mergeCell ref="B4:D4"/>
    <mergeCell ref="B5:D5"/>
    <mergeCell ref="B6:D6"/>
  </mergeCells>
  <hyperlinks>
    <hyperlink ref="G16" location="'Z-Score'!F2:F28" display="=FILTRO('Z-Score'!$F$2:$F$28;Dados!$A$2:$A$28='Análises '!B16)" xr:uid="{4773933A-9082-4300-BC5C-6ED2885C7C9D}"/>
    <hyperlink ref="G17:G18" location="'Z-Score'!F2:F28" display="=FILTRO('Z-Score'!$F$2:$F$28;Dados!$A$2:$A$28='Análises '!B17)" xr:uid="{95C9DA6B-4C00-4F16-9AB5-C3B6563D9F8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"/>
  <sheetViews>
    <sheetView workbookViewId="0">
      <selection activeCell="K20" sqref="K20"/>
    </sheetView>
  </sheetViews>
  <sheetFormatPr defaultColWidth="12.5703125" defaultRowHeight="15.75" customHeight="1"/>
  <cols>
    <col min="5" max="5" width="19.7109375" customWidth="1"/>
    <col min="6" max="7" width="15.28515625" customWidth="1"/>
  </cols>
  <sheetData>
    <row r="1" spans="1:7" ht="12.75">
      <c r="A1" s="1" t="s">
        <v>14</v>
      </c>
      <c r="B1" s="1" t="s">
        <v>15</v>
      </c>
      <c r="C1" s="1" t="s">
        <v>0</v>
      </c>
      <c r="D1" s="1" t="s">
        <v>12</v>
      </c>
      <c r="E1" s="1" t="s">
        <v>16</v>
      </c>
      <c r="F1" s="1" t="s">
        <v>17</v>
      </c>
      <c r="G1" s="1" t="s">
        <v>18</v>
      </c>
    </row>
    <row r="2" spans="1:7" ht="12.75">
      <c r="A2" s="2" t="s">
        <v>19</v>
      </c>
      <c r="B2" s="3">
        <v>1029129</v>
      </c>
      <c r="C2" s="4">
        <v>0.70499999999999996</v>
      </c>
      <c r="D2" s="5">
        <v>0.61</v>
      </c>
      <c r="E2" s="6">
        <v>16.100000000000001</v>
      </c>
      <c r="F2" s="7">
        <v>21000</v>
      </c>
      <c r="G2" s="8">
        <v>2.2200000000000002</v>
      </c>
    </row>
    <row r="3" spans="1:7" ht="12.75">
      <c r="A3" s="2" t="s">
        <v>20</v>
      </c>
      <c r="B3" s="3">
        <v>512902</v>
      </c>
      <c r="C3" s="4">
        <v>0.72</v>
      </c>
      <c r="D3" s="5">
        <v>0.6</v>
      </c>
      <c r="E3" s="6">
        <v>13.7</v>
      </c>
      <c r="F3" s="7">
        <v>22000</v>
      </c>
      <c r="G3" s="8">
        <v>2.48</v>
      </c>
    </row>
    <row r="4" spans="1:7" ht="12.75">
      <c r="A4" s="2" t="s">
        <v>21</v>
      </c>
      <c r="B4" s="3">
        <v>2323789</v>
      </c>
      <c r="C4" s="4">
        <v>0.72</v>
      </c>
      <c r="D4" s="5">
        <v>0.6</v>
      </c>
      <c r="E4" s="6">
        <v>15.4</v>
      </c>
      <c r="F4" s="7">
        <v>25000</v>
      </c>
      <c r="G4" s="8">
        <v>2.59</v>
      </c>
    </row>
    <row r="5" spans="1:7" ht="12.75">
      <c r="A5" s="2" t="s">
        <v>22</v>
      </c>
      <c r="B5" s="3">
        <v>1108975</v>
      </c>
      <c r="C5" s="4">
        <v>0.73</v>
      </c>
      <c r="D5" s="5">
        <v>0.6</v>
      </c>
      <c r="E5" s="6">
        <v>14.5</v>
      </c>
      <c r="F5" s="7">
        <v>22000</v>
      </c>
      <c r="G5" s="8">
        <v>2.56</v>
      </c>
    </row>
    <row r="6" spans="1:7" ht="12.75">
      <c r="A6" s="2" t="s">
        <v>23</v>
      </c>
      <c r="B6" s="3">
        <v>419452</v>
      </c>
      <c r="C6" s="4">
        <v>0.72499999999999998</v>
      </c>
      <c r="D6" s="5">
        <v>0.59</v>
      </c>
      <c r="E6" s="6">
        <v>14.2</v>
      </c>
      <c r="F6" s="7">
        <v>21000</v>
      </c>
      <c r="G6" s="8">
        <v>2.95</v>
      </c>
    </row>
    <row r="7" spans="1:7" ht="12.75">
      <c r="A7" s="2" t="s">
        <v>24</v>
      </c>
      <c r="B7" s="3">
        <v>1653461</v>
      </c>
      <c r="C7" s="4">
        <v>0.73499999999999999</v>
      </c>
      <c r="D7" s="5">
        <v>0.59</v>
      </c>
      <c r="E7" s="6">
        <v>13.9</v>
      </c>
      <c r="F7" s="7">
        <v>24000</v>
      </c>
      <c r="G7" s="8">
        <v>1.92</v>
      </c>
    </row>
    <row r="8" spans="1:7" ht="12.75">
      <c r="A8" s="2" t="s">
        <v>25</v>
      </c>
      <c r="B8" s="3">
        <v>539354</v>
      </c>
      <c r="C8" s="4">
        <v>0.73499999999999999</v>
      </c>
      <c r="D8" s="5">
        <v>0.57999999999999996</v>
      </c>
      <c r="E8" s="6">
        <v>13</v>
      </c>
      <c r="F8" s="7">
        <v>24000</v>
      </c>
      <c r="G8" s="8">
        <v>2.16</v>
      </c>
    </row>
    <row r="9" spans="1:7" ht="12.75">
      <c r="A9" s="2" t="s">
        <v>26</v>
      </c>
      <c r="B9" s="3">
        <v>1496889</v>
      </c>
      <c r="C9" s="4">
        <v>0.745</v>
      </c>
      <c r="D9" s="5">
        <v>0.57999999999999996</v>
      </c>
      <c r="E9" s="6">
        <v>14.8</v>
      </c>
      <c r="F9" s="7">
        <v>23000</v>
      </c>
      <c r="G9" s="8">
        <v>2.5</v>
      </c>
    </row>
    <row r="10" spans="1:7" ht="12.75">
      <c r="A10" s="2" t="s">
        <v>27</v>
      </c>
      <c r="B10" s="3">
        <v>2900319</v>
      </c>
      <c r="C10" s="4">
        <v>0.75900000000000001</v>
      </c>
      <c r="D10" s="5">
        <v>0.57999999999999996</v>
      </c>
      <c r="E10" s="6">
        <v>14</v>
      </c>
      <c r="F10" s="7">
        <v>27000</v>
      </c>
      <c r="G10" s="8">
        <v>2.0499999999999998</v>
      </c>
    </row>
    <row r="11" spans="1:7" ht="12.75">
      <c r="A11" s="2" t="s">
        <v>28</v>
      </c>
      <c r="B11" s="3">
        <v>2686612</v>
      </c>
      <c r="C11" s="4">
        <v>0.754</v>
      </c>
      <c r="D11" s="5">
        <v>0.56999999999999995</v>
      </c>
      <c r="E11" s="6">
        <v>13.2</v>
      </c>
      <c r="F11" s="7">
        <v>26000</v>
      </c>
      <c r="G11" s="8">
        <v>1.99</v>
      </c>
    </row>
    <row r="12" spans="1:7" ht="12.75">
      <c r="A12" s="2" t="s">
        <v>29</v>
      </c>
      <c r="B12" s="3">
        <v>868075</v>
      </c>
      <c r="C12" s="4">
        <v>0.74</v>
      </c>
      <c r="D12" s="5">
        <v>0.56000000000000005</v>
      </c>
      <c r="E12" s="6">
        <v>11.3</v>
      </c>
      <c r="F12" s="7">
        <v>23000</v>
      </c>
      <c r="G12" s="8">
        <v>1.99</v>
      </c>
    </row>
    <row r="13" spans="1:7" ht="12.75">
      <c r="A13" s="2" t="s">
        <v>30</v>
      </c>
      <c r="B13" s="3">
        <v>436591</v>
      </c>
      <c r="C13" s="4">
        <v>0.75</v>
      </c>
      <c r="D13" s="5">
        <v>0.56000000000000005</v>
      </c>
      <c r="E13" s="6">
        <v>10.9</v>
      </c>
      <c r="F13" s="7">
        <v>28000</v>
      </c>
      <c r="G13" s="8">
        <v>2.41</v>
      </c>
    </row>
    <row r="14" spans="1:7" ht="12.75">
      <c r="A14" s="2" t="s">
        <v>31</v>
      </c>
      <c r="B14" s="3">
        <v>664908</v>
      </c>
      <c r="C14" s="4">
        <v>0.76</v>
      </c>
      <c r="D14" s="5">
        <v>0.55000000000000004</v>
      </c>
      <c r="E14" s="6">
        <v>12.5</v>
      </c>
      <c r="F14" s="7">
        <v>27000</v>
      </c>
      <c r="G14" s="8">
        <v>1.95</v>
      </c>
    </row>
    <row r="15" spans="1:7" ht="12.75">
      <c r="A15" s="2" t="s">
        <v>32</v>
      </c>
      <c r="B15" s="3">
        <v>890480</v>
      </c>
      <c r="C15" s="4">
        <v>0.77</v>
      </c>
      <c r="D15" s="5">
        <v>0.55000000000000004</v>
      </c>
      <c r="E15" s="6">
        <v>12.1</v>
      </c>
      <c r="F15" s="7">
        <v>26000</v>
      </c>
      <c r="G15" s="8">
        <v>1.98</v>
      </c>
    </row>
    <row r="16" spans="1:7" ht="12.75">
      <c r="A16" s="2" t="s">
        <v>33</v>
      </c>
      <c r="B16" s="3">
        <v>306296</v>
      </c>
      <c r="C16" s="4">
        <v>0.77</v>
      </c>
      <c r="D16" s="5">
        <v>0.54</v>
      </c>
      <c r="E16" s="6">
        <v>9.8000000000000007</v>
      </c>
      <c r="F16" s="7">
        <v>27000</v>
      </c>
      <c r="G16" s="8">
        <v>2.41</v>
      </c>
    </row>
    <row r="17" spans="1:7" ht="12.75">
      <c r="A17" s="2" t="s">
        <v>34</v>
      </c>
      <c r="B17" s="3">
        <v>6775561</v>
      </c>
      <c r="C17" s="4">
        <v>0.79900000000000004</v>
      </c>
      <c r="D17" s="5">
        <v>0.54</v>
      </c>
      <c r="E17" s="6">
        <v>12.3</v>
      </c>
      <c r="F17" s="7">
        <v>40000</v>
      </c>
      <c r="G17" s="8">
        <v>1.68</v>
      </c>
    </row>
    <row r="18" spans="1:7" ht="12.75">
      <c r="A18" s="2" t="s">
        <v>35</v>
      </c>
      <c r="B18" s="3">
        <v>817511</v>
      </c>
      <c r="C18" s="4">
        <v>0.78</v>
      </c>
      <c r="D18" s="5">
        <v>0.53</v>
      </c>
      <c r="E18" s="6">
        <v>11.7</v>
      </c>
      <c r="F18" s="7">
        <v>25000</v>
      </c>
      <c r="G18" s="8">
        <v>1.95</v>
      </c>
    </row>
    <row r="19" spans="1:7" ht="12.75">
      <c r="A19" s="2" t="s">
        <v>36</v>
      </c>
      <c r="B19" s="3">
        <v>12396372</v>
      </c>
      <c r="C19" s="4">
        <v>0.80500000000000005</v>
      </c>
      <c r="D19" s="5">
        <v>0.53</v>
      </c>
      <c r="E19" s="6">
        <v>10.199999999999999</v>
      </c>
      <c r="F19" s="7">
        <v>48000</v>
      </c>
      <c r="G19" s="8">
        <v>1.66</v>
      </c>
    </row>
    <row r="20" spans="1:7" ht="12.75">
      <c r="A20" s="2" t="s">
        <v>37</v>
      </c>
      <c r="B20" s="3">
        <v>618124</v>
      </c>
      <c r="C20" s="4">
        <v>0.78500000000000003</v>
      </c>
      <c r="D20" s="5">
        <v>0.5</v>
      </c>
      <c r="E20" s="6">
        <v>9.6</v>
      </c>
      <c r="F20" s="7">
        <v>29000</v>
      </c>
      <c r="G20" s="8">
        <v>2.04</v>
      </c>
    </row>
    <row r="21" spans="1:7" ht="12.75">
      <c r="A21" s="2" t="s">
        <v>38</v>
      </c>
      <c r="B21" s="3">
        <v>916001</v>
      </c>
      <c r="C21" s="4">
        <v>0.79200000000000004</v>
      </c>
      <c r="D21" s="5">
        <v>0.49</v>
      </c>
      <c r="E21" s="6">
        <v>8.9</v>
      </c>
      <c r="F21" s="7">
        <v>32000</v>
      </c>
      <c r="G21" s="8">
        <v>2.08</v>
      </c>
    </row>
    <row r="22" spans="1:7" ht="12.75">
      <c r="A22" s="2" t="s">
        <v>39</v>
      </c>
      <c r="B22" s="3">
        <v>2521564</v>
      </c>
      <c r="C22" s="4">
        <v>0.81</v>
      </c>
      <c r="D22" s="5">
        <v>0.48</v>
      </c>
      <c r="E22" s="6">
        <v>8.5</v>
      </c>
      <c r="F22" s="7">
        <v>35000</v>
      </c>
      <c r="G22" s="8">
        <v>1.79</v>
      </c>
    </row>
    <row r="23" spans="1:7" ht="12.75">
      <c r="A23" s="2" t="s">
        <v>40</v>
      </c>
      <c r="B23" s="3">
        <v>1536097</v>
      </c>
      <c r="C23" s="4">
        <v>0.79800000000000004</v>
      </c>
      <c r="D23" s="5">
        <v>0.47</v>
      </c>
      <c r="E23" s="6">
        <v>9.1999999999999993</v>
      </c>
      <c r="F23" s="7">
        <v>31000</v>
      </c>
      <c r="G23" s="8">
        <v>1.87</v>
      </c>
    </row>
    <row r="24" spans="1:7" ht="12.75">
      <c r="A24" s="2" t="s">
        <v>41</v>
      </c>
      <c r="B24" s="3">
        <v>1963726</v>
      </c>
      <c r="C24" s="4">
        <v>0.82</v>
      </c>
      <c r="D24" s="5">
        <v>0.46</v>
      </c>
      <c r="E24" s="6">
        <v>7.9</v>
      </c>
      <c r="F24" s="7">
        <v>38000</v>
      </c>
      <c r="G24" s="8">
        <v>1.86</v>
      </c>
    </row>
    <row r="25" spans="1:7" ht="12.75">
      <c r="A25" s="2" t="s">
        <v>42</v>
      </c>
      <c r="B25" s="3">
        <v>3094325</v>
      </c>
      <c r="C25" s="4">
        <v>0.85</v>
      </c>
      <c r="D25" s="5">
        <v>0.45</v>
      </c>
      <c r="E25" s="6">
        <v>7.1</v>
      </c>
      <c r="F25" s="7">
        <v>55000</v>
      </c>
      <c r="G25" s="8">
        <v>1.75</v>
      </c>
    </row>
    <row r="26" spans="1:7" ht="12.75">
      <c r="A26" s="2" t="s">
        <v>43</v>
      </c>
      <c r="B26" s="3">
        <v>1488252</v>
      </c>
      <c r="C26" s="4">
        <v>0.83199999999999996</v>
      </c>
      <c r="D26" s="5">
        <v>0.44</v>
      </c>
      <c r="E26" s="6">
        <v>6.5</v>
      </c>
      <c r="F26" s="7">
        <v>42000</v>
      </c>
      <c r="G26" s="8">
        <v>1.76</v>
      </c>
    </row>
    <row r="27" spans="1:7" ht="12.75">
      <c r="A27" s="2" t="s">
        <v>44</v>
      </c>
      <c r="B27" s="3">
        <v>365855</v>
      </c>
      <c r="C27" s="4">
        <v>0.84499999999999997</v>
      </c>
      <c r="D27" s="5">
        <v>0.43</v>
      </c>
      <c r="E27" s="6">
        <v>6.1</v>
      </c>
      <c r="F27" s="7">
        <v>50000</v>
      </c>
      <c r="G27" s="8">
        <v>1.8</v>
      </c>
    </row>
    <row r="28" spans="1:7" ht="12.75">
      <c r="A28" s="2" t="s">
        <v>45</v>
      </c>
      <c r="B28" s="3">
        <v>537213</v>
      </c>
      <c r="C28" s="4">
        <v>0.86</v>
      </c>
      <c r="D28" s="5">
        <v>0.42</v>
      </c>
      <c r="E28" s="6">
        <v>5.8</v>
      </c>
      <c r="F28" s="7">
        <v>58000</v>
      </c>
      <c r="G28" s="8">
        <v>1.71</v>
      </c>
    </row>
  </sheetData>
  <autoFilter ref="A1:G28" xr:uid="{00000000-0009-0000-0000-000000000000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C518-D393-4CFC-9673-7C909A7E0965}">
  <dimension ref="A1:K28"/>
  <sheetViews>
    <sheetView workbookViewId="0">
      <selection activeCell="S18" sqref="S18"/>
    </sheetView>
  </sheetViews>
  <sheetFormatPr defaultRowHeight="12.75"/>
  <cols>
    <col min="1" max="1" width="14" bestFit="1" customWidth="1"/>
    <col min="3" max="3" width="19.42578125" bestFit="1" customWidth="1"/>
    <col min="4" max="4" width="16.140625" bestFit="1" customWidth="1"/>
    <col min="9" max="9" width="17.140625" bestFit="1" customWidth="1"/>
  </cols>
  <sheetData>
    <row r="1" spans="1:11">
      <c r="A1" s="1" t="s">
        <v>14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I1" s="1" t="s">
        <v>51</v>
      </c>
      <c r="J1" s="1" t="s">
        <v>52</v>
      </c>
      <c r="K1" s="1" t="s">
        <v>53</v>
      </c>
    </row>
    <row r="2" spans="1:11">
      <c r="A2" s="2" t="s">
        <v>19</v>
      </c>
      <c r="B2" s="26">
        <f>-((Dados!C2-'Z-Score'!$K$2)/'Z-Score'!$J$2)</f>
        <v>1.5855282247019189</v>
      </c>
      <c r="C2" s="26">
        <f>(Dados!$E2-'Z-Score'!$K$3)/'Z-Score'!$J$3</f>
        <v>1.6227069943060666</v>
      </c>
      <c r="D2" s="26">
        <f>-((Dados!F2-'Z-Score'!$K$4)/'Z-Score'!$J$4)</f>
        <v>0.974166696110768</v>
      </c>
      <c r="E2" s="26">
        <f>(Dados!D2-'Z-Score'!$K$5)/'Z-Score'!$J$5</f>
        <v>1.3030827645848173</v>
      </c>
      <c r="F2" s="26">
        <f>SUM(B2:E2)</f>
        <v>5.4854846797035703</v>
      </c>
      <c r="I2" t="s">
        <v>0</v>
      </c>
      <c r="J2" s="26">
        <f>_xlfn.STDEV.S(Dados!C2:C28)</f>
        <v>4.3425182080751704E-2</v>
      </c>
      <c r="K2" s="26">
        <f>AVERAGE(Dados!C2:C28)</f>
        <v>0.77385185185185179</v>
      </c>
    </row>
    <row r="3" spans="1:11">
      <c r="A3" s="2" t="s">
        <v>20</v>
      </c>
      <c r="B3" s="26">
        <f>-((Dados!C3-'Z-Score'!$K$2)/'Z-Score'!$J$2)</f>
        <v>1.2401065297023073</v>
      </c>
      <c r="C3" s="26">
        <f>(Dados!$E3-'Z-Score'!$K$3)/'Z-Score'!$J$3</f>
        <v>0.82307647543889395</v>
      </c>
      <c r="D3" s="26">
        <f>-((Dados!F3-'Z-Score'!$K$4)/'Z-Score'!$J$4)</f>
        <v>0.88089541669590721</v>
      </c>
      <c r="E3" s="26">
        <f>(Dados!D3-'Z-Score'!$K$5)/'Z-Score'!$J$5</f>
        <v>1.1331154474650582</v>
      </c>
      <c r="F3" s="26">
        <f>SUM(B3:E3)</f>
        <v>4.0771938693021665</v>
      </c>
      <c r="I3" t="s">
        <v>54</v>
      </c>
      <c r="J3" s="26">
        <f>_xlfn.STDEV.S(Dados!E2:E28)</f>
        <v>3.001386194463981</v>
      </c>
      <c r="K3" s="26">
        <f>AVERAGE(Dados!E2:E28)</f>
        <v>11.229629629629631</v>
      </c>
    </row>
    <row r="4" spans="1:11">
      <c r="A4" s="2" t="s">
        <v>21</v>
      </c>
      <c r="B4" s="26">
        <f>-((Dados!C4-'Z-Score'!$K$2)/'Z-Score'!$J$2)</f>
        <v>1.2401065297023073</v>
      </c>
      <c r="C4" s="26">
        <f>(Dados!$E4-'Z-Score'!$K$3)/'Z-Score'!$J$3</f>
        <v>1.3894814263031412</v>
      </c>
      <c r="D4" s="26">
        <f>-((Dados!F4-'Z-Score'!$K$4)/'Z-Score'!$J$4)</f>
        <v>0.60108157845132493</v>
      </c>
      <c r="E4" s="26">
        <f>(Dados!D4-'Z-Score'!$K$5)/'Z-Score'!$J$5</f>
        <v>1.1331154474650582</v>
      </c>
      <c r="F4" s="26">
        <f>SUM(B4:E4)</f>
        <v>4.3637849819218317</v>
      </c>
      <c r="I4" t="s">
        <v>9</v>
      </c>
      <c r="J4" s="26">
        <f>_xlfn.STDEV.S(Dados!F2:F28)</f>
        <v>10721.413990174897</v>
      </c>
      <c r="K4" s="26">
        <f>AVERAGE(Dados!F2:F28)</f>
        <v>31444.444444444445</v>
      </c>
    </row>
    <row r="5" spans="1:11">
      <c r="A5" s="2" t="s">
        <v>22</v>
      </c>
      <c r="B5" s="26">
        <f>-((Dados!C5-'Z-Score'!$K$2)/'Z-Score'!$J$2)</f>
        <v>1.0098253997025664</v>
      </c>
      <c r="C5" s="26">
        <f>(Dados!$E5-'Z-Score'!$K$3)/'Z-Score'!$J$3</f>
        <v>1.0896199817279515</v>
      </c>
      <c r="D5" s="26">
        <f>-((Dados!F5-'Z-Score'!$K$4)/'Z-Score'!$J$4)</f>
        <v>0.88089541669590721</v>
      </c>
      <c r="E5" s="26">
        <f>(Dados!D5-'Z-Score'!$K$5)/'Z-Score'!$J$5</f>
        <v>1.1331154474650582</v>
      </c>
      <c r="F5" s="26">
        <f>SUM(B5:E5)</f>
        <v>4.1134562455914834</v>
      </c>
      <c r="I5" t="s">
        <v>12</v>
      </c>
      <c r="J5" s="26">
        <f>_xlfn.STDEV.S(Dados!D2:D28)</f>
        <v>5.8834840541455456E-2</v>
      </c>
      <c r="K5" s="26">
        <f>AVERAGE(Dados!D2:D28)</f>
        <v>0.53333333333333333</v>
      </c>
    </row>
    <row r="6" spans="1:11">
      <c r="A6" s="2" t="s">
        <v>23</v>
      </c>
      <c r="B6" s="26">
        <f>-((Dados!C6-'Z-Score'!$K$2)/'Z-Score'!$J$2)</f>
        <v>1.1249659647024368</v>
      </c>
      <c r="C6" s="26">
        <f>(Dados!$E6-'Z-Score'!$K$3)/'Z-Score'!$J$3</f>
        <v>0.98966616686955478</v>
      </c>
      <c r="D6" s="26">
        <f>-((Dados!F6-'Z-Score'!$K$4)/'Z-Score'!$J$4)</f>
        <v>0.974166696110768</v>
      </c>
      <c r="E6" s="26">
        <f>(Dados!D6-'Z-Score'!$K$5)/'Z-Score'!$J$5</f>
        <v>0.96314813034529934</v>
      </c>
      <c r="F6" s="26">
        <f>SUM(B6:E6)</f>
        <v>4.0519469580280596</v>
      </c>
    </row>
    <row r="7" spans="1:11">
      <c r="A7" s="2" t="s">
        <v>24</v>
      </c>
      <c r="B7" s="26">
        <f>-((Dados!C7-'Z-Score'!$K$2)/'Z-Score'!$J$2)</f>
        <v>0.89468483470269577</v>
      </c>
      <c r="C7" s="26">
        <f>(Dados!$E7-'Z-Score'!$K$3)/'Z-Score'!$J$3</f>
        <v>0.88971235201115861</v>
      </c>
      <c r="D7" s="26">
        <f>-((Dados!F7-'Z-Score'!$K$4)/'Z-Score'!$J$4)</f>
        <v>0.69435285786618572</v>
      </c>
      <c r="E7" s="26">
        <f>(Dados!D7-'Z-Score'!$K$5)/'Z-Score'!$J$5</f>
        <v>0.96314813034529934</v>
      </c>
      <c r="F7" s="26">
        <f>SUM(B7:E7)</f>
        <v>3.4418981749253392</v>
      </c>
    </row>
    <row r="8" spans="1:11">
      <c r="A8" s="2" t="s">
        <v>25</v>
      </c>
      <c r="B8" s="26">
        <f>-((Dados!C8-'Z-Score'!$K$2)/'Z-Score'!$J$2)</f>
        <v>0.89468483470269577</v>
      </c>
      <c r="C8" s="26">
        <f>(Dados!$E8-'Z-Score'!$K$3)/'Z-Score'!$J$3</f>
        <v>0.58985090743596902</v>
      </c>
      <c r="D8" s="26">
        <f>-((Dados!F8-'Z-Score'!$K$4)/'Z-Score'!$J$4)</f>
        <v>0.69435285786618572</v>
      </c>
      <c r="E8" s="26">
        <f>(Dados!D8-'Z-Score'!$K$5)/'Z-Score'!$J$5</f>
        <v>0.79318081322554046</v>
      </c>
      <c r="F8" s="26">
        <f>SUM(B8:E8)</f>
        <v>2.9720694132303915</v>
      </c>
    </row>
    <row r="9" spans="1:11">
      <c r="A9" s="2" t="s">
        <v>26</v>
      </c>
      <c r="B9" s="26">
        <f>-((Dados!C9-'Z-Score'!$K$2)/'Z-Score'!$J$2)</f>
        <v>0.66440370470295473</v>
      </c>
      <c r="C9" s="26">
        <f>(Dados!$E9-'Z-Score'!$K$3)/'Z-Score'!$J$3</f>
        <v>1.1895737965863482</v>
      </c>
      <c r="D9" s="26">
        <f>-((Dados!F9-'Z-Score'!$K$4)/'Z-Score'!$J$4)</f>
        <v>0.78762413728104652</v>
      </c>
      <c r="E9" s="26">
        <f>(Dados!D9-'Z-Score'!$K$5)/'Z-Score'!$J$5</f>
        <v>0.79318081322554046</v>
      </c>
      <c r="F9" s="26">
        <f>SUM(B9:E9)</f>
        <v>3.4347824517958898</v>
      </c>
    </row>
    <row r="10" spans="1:11">
      <c r="A10" s="2" t="s">
        <v>27</v>
      </c>
      <c r="B10" s="26">
        <f>-((Dados!C10-'Z-Score'!$K$2)/'Z-Score'!$J$2)</f>
        <v>0.34201012270331721</v>
      </c>
      <c r="C10" s="26">
        <f>(Dados!$E10-'Z-Score'!$K$3)/'Z-Score'!$J$3</f>
        <v>0.92303029029729067</v>
      </c>
      <c r="D10" s="26">
        <f>-((Dados!F10-'Z-Score'!$K$4)/'Z-Score'!$J$4)</f>
        <v>0.41453901962160344</v>
      </c>
      <c r="E10" s="26">
        <f>(Dados!D10-'Z-Score'!$K$5)/'Z-Score'!$J$5</f>
        <v>0.79318081322554046</v>
      </c>
      <c r="F10" s="26">
        <f>SUM(B10:E10)</f>
        <v>2.472760245847752</v>
      </c>
    </row>
    <row r="11" spans="1:11">
      <c r="A11" s="2" t="s">
        <v>28</v>
      </c>
      <c r="B11" s="26">
        <f>-((Dados!C11-'Z-Score'!$K$2)/'Z-Score'!$J$2)</f>
        <v>0.45715068770318779</v>
      </c>
      <c r="C11" s="26">
        <f>(Dados!$E11-'Z-Score'!$K$3)/'Z-Score'!$J$3</f>
        <v>0.65648678400823302</v>
      </c>
      <c r="D11" s="26">
        <f>-((Dados!F11-'Z-Score'!$K$4)/'Z-Score'!$J$4)</f>
        <v>0.50781029903646424</v>
      </c>
      <c r="E11" s="26">
        <f>(Dados!D11-'Z-Score'!$K$5)/'Z-Score'!$J$5</f>
        <v>0.62321349610578147</v>
      </c>
      <c r="F11" s="26">
        <f>SUM(B11:E11)</f>
        <v>2.2446612668536665</v>
      </c>
    </row>
    <row r="12" spans="1:11">
      <c r="A12" s="2" t="s">
        <v>29</v>
      </c>
      <c r="B12" s="26">
        <f>-((Dados!C12-'Z-Score'!$K$2)/'Z-Score'!$J$2)</f>
        <v>0.7795442697028252</v>
      </c>
      <c r="C12" s="26">
        <f>(Dados!$E12-'Z-Score'!$K$3)/'Z-Score'!$J$3</f>
        <v>2.3445956571722357E-2</v>
      </c>
      <c r="D12" s="26">
        <f>-((Dados!F12-'Z-Score'!$K$4)/'Z-Score'!$J$4)</f>
        <v>0.78762413728104652</v>
      </c>
      <c r="E12" s="26">
        <f>(Dados!D12-'Z-Score'!$K$5)/'Z-Score'!$J$5</f>
        <v>0.45324617898602443</v>
      </c>
      <c r="F12" s="26">
        <f>SUM(B12:E12)</f>
        <v>2.0438605425416183</v>
      </c>
    </row>
    <row r="13" spans="1:11">
      <c r="A13" s="2" t="s">
        <v>30</v>
      </c>
      <c r="B13" s="26">
        <f>-((Dados!C13-'Z-Score'!$K$2)/'Z-Score'!$J$2)</f>
        <v>0.54926313970308416</v>
      </c>
      <c r="C13" s="26">
        <f>(Dados!$E13-'Z-Score'!$K$3)/'Z-Score'!$J$3</f>
        <v>-0.10982579657280643</v>
      </c>
      <c r="D13" s="26">
        <f>-((Dados!F13-'Z-Score'!$K$4)/'Z-Score'!$J$4)</f>
        <v>0.3212677402067427</v>
      </c>
      <c r="E13" s="26">
        <f>(Dados!D13-'Z-Score'!$K$5)/'Z-Score'!$J$5</f>
        <v>0.45324617898602443</v>
      </c>
      <c r="F13" s="26">
        <f>SUM(B13:E13)</f>
        <v>1.2139512623230448</v>
      </c>
    </row>
    <row r="14" spans="1:11">
      <c r="A14" s="2" t="s">
        <v>31</v>
      </c>
      <c r="B14" s="26">
        <f>-((Dados!C14-'Z-Score'!$K$2)/'Z-Score'!$J$2)</f>
        <v>0.31898200970334312</v>
      </c>
      <c r="C14" s="26">
        <f>(Dados!$E14-'Z-Score'!$K$3)/'Z-Score'!$J$3</f>
        <v>0.42326121600530814</v>
      </c>
      <c r="D14" s="26">
        <f>-((Dados!F14-'Z-Score'!$K$4)/'Z-Score'!$J$4)</f>
        <v>0.41453901962160344</v>
      </c>
      <c r="E14" s="26">
        <f>(Dados!D14-'Z-Score'!$K$5)/'Z-Score'!$J$5</f>
        <v>0.2832788618662655</v>
      </c>
      <c r="F14" s="26">
        <f>SUM(B14:E14)</f>
        <v>1.4400611071965201</v>
      </c>
    </row>
    <row r="15" spans="1:11">
      <c r="A15" s="2" t="s">
        <v>32</v>
      </c>
      <c r="B15" s="26">
        <f>-((Dados!C15-'Z-Score'!$K$2)/'Z-Score'!$J$2)</f>
        <v>8.8700879703602062E-2</v>
      </c>
      <c r="C15" s="26">
        <f>(Dados!$E15-'Z-Score'!$K$3)/'Z-Score'!$J$3</f>
        <v>0.28998946286077931</v>
      </c>
      <c r="D15" s="26">
        <f>-((Dados!F15-'Z-Score'!$K$4)/'Z-Score'!$J$4)</f>
        <v>0.50781029903646424</v>
      </c>
      <c r="E15" s="26">
        <f>(Dados!D15-'Z-Score'!$K$5)/'Z-Score'!$J$5</f>
        <v>0.2832788618662655</v>
      </c>
      <c r="F15" s="26">
        <f>SUM(B15:E15)</f>
        <v>1.1697795034671112</v>
      </c>
    </row>
    <row r="16" spans="1:11">
      <c r="A16" s="2" t="s">
        <v>33</v>
      </c>
      <c r="B16" s="26">
        <f>-((Dados!C16-'Z-Score'!$K$2)/'Z-Score'!$J$2)</f>
        <v>8.8700879703602062E-2</v>
      </c>
      <c r="C16" s="26">
        <f>(Dados!$E16-'Z-Score'!$K$3)/'Z-Score'!$J$3</f>
        <v>-0.47632311772026015</v>
      </c>
      <c r="D16" s="26">
        <f>-((Dados!F16-'Z-Score'!$K$4)/'Z-Score'!$J$4)</f>
        <v>0.41453901962160344</v>
      </c>
      <c r="E16" s="26">
        <f>(Dados!D16-'Z-Score'!$K$5)/'Z-Score'!$J$5</f>
        <v>0.11331154474650658</v>
      </c>
      <c r="F16" s="26">
        <f>SUM(B16:E16)</f>
        <v>0.14022832635145194</v>
      </c>
    </row>
    <row r="17" spans="1:6">
      <c r="A17" s="2" t="s">
        <v>34</v>
      </c>
      <c r="B17" s="26">
        <f>-((Dados!C17-'Z-Score'!$K$2)/'Z-Score'!$J$2)</f>
        <v>-0.57911439729564695</v>
      </c>
      <c r="C17" s="26">
        <f>(Dados!$E17-'Z-Score'!$K$3)/'Z-Score'!$J$3</f>
        <v>0.35662533943304403</v>
      </c>
      <c r="D17" s="26">
        <f>-((Dados!F17-'Z-Score'!$K$4)/'Z-Score'!$J$4)</f>
        <v>-0.79798761277158647</v>
      </c>
      <c r="E17" s="26">
        <f>(Dados!D17-'Z-Score'!$K$5)/'Z-Score'!$J$5</f>
        <v>0.11331154474650658</v>
      </c>
      <c r="F17" s="26">
        <f>SUM(B17:E17)</f>
        <v>-0.90716512588768283</v>
      </c>
    </row>
    <row r="18" spans="1:6">
      <c r="A18" s="2" t="s">
        <v>35</v>
      </c>
      <c r="B18" s="26">
        <f>-((Dados!C18-'Z-Score'!$K$2)/'Z-Score'!$J$2)</f>
        <v>-0.14158025029613899</v>
      </c>
      <c r="C18" s="26">
        <f>(Dados!$E18-'Z-Score'!$K$3)/'Z-Score'!$J$3</f>
        <v>0.15671770971625054</v>
      </c>
      <c r="D18" s="26">
        <f>-((Dados!F18-'Z-Score'!$K$4)/'Z-Score'!$J$4)</f>
        <v>0.60108157845132493</v>
      </c>
      <c r="E18" s="26">
        <f>(Dados!D18-'Z-Score'!$K$5)/'Z-Score'!$J$5</f>
        <v>-5.6655772373252346E-2</v>
      </c>
      <c r="F18" s="26">
        <f>SUM(B18:E18)</f>
        <v>0.55956326549818414</v>
      </c>
    </row>
    <row r="19" spans="1:6">
      <c r="A19" s="2" t="s">
        <v>36</v>
      </c>
      <c r="B19" s="26">
        <f>-((Dados!C19-'Z-Score'!$K$2)/'Z-Score'!$J$2)</f>
        <v>-0.71728307529549162</v>
      </c>
      <c r="C19" s="26">
        <f>(Dados!$E19-'Z-Score'!$K$3)/'Z-Score'!$J$3</f>
        <v>-0.34305136457573193</v>
      </c>
      <c r="D19" s="26">
        <f>-((Dados!F19-'Z-Score'!$K$4)/'Z-Score'!$J$4)</f>
        <v>-1.5441578480904725</v>
      </c>
      <c r="E19" s="26">
        <f>(Dados!D19-'Z-Score'!$K$5)/'Z-Score'!$J$5</f>
        <v>-5.6655772373252346E-2</v>
      </c>
      <c r="F19" s="26">
        <f>SUM(B19:E19)</f>
        <v>-2.661148060334948</v>
      </c>
    </row>
    <row r="20" spans="1:6">
      <c r="A20" s="2" t="s">
        <v>37</v>
      </c>
      <c r="B20" s="26">
        <f>-((Dados!C20-'Z-Score'!$K$2)/'Z-Score'!$J$2)</f>
        <v>-0.25672081529600954</v>
      </c>
      <c r="C20" s="26">
        <f>(Dados!$E20-'Z-Score'!$K$3)/'Z-Score'!$J$3</f>
        <v>-0.54295899429252481</v>
      </c>
      <c r="D20" s="26">
        <f>-((Dados!F20-'Z-Score'!$K$4)/'Z-Score'!$J$4)</f>
        <v>0.22799646079188193</v>
      </c>
      <c r="E20" s="26">
        <f>(Dados!D20-'Z-Score'!$K$5)/'Z-Score'!$J$5</f>
        <v>-0.56655772373252911</v>
      </c>
      <c r="F20" s="26">
        <f>SUM(B20:E20)</f>
        <v>-1.1382410725291816</v>
      </c>
    </row>
    <row r="21" spans="1:6">
      <c r="A21" s="2" t="s">
        <v>38</v>
      </c>
      <c r="B21" s="26">
        <f>-((Dados!C21-'Z-Score'!$K$2)/'Z-Score'!$J$2)</f>
        <v>-0.41791760629582825</v>
      </c>
      <c r="C21" s="26">
        <f>(Dados!$E21-'Z-Score'!$K$3)/'Z-Score'!$J$3</f>
        <v>-0.77618456229544974</v>
      </c>
      <c r="D21" s="26">
        <f>-((Dados!F21-'Z-Score'!$K$4)/'Z-Score'!$J$4)</f>
        <v>-5.1817377452700347E-2</v>
      </c>
      <c r="E21" s="26">
        <f>(Dados!D21-'Z-Score'!$K$5)/'Z-Score'!$J$5</f>
        <v>-0.73652504085228809</v>
      </c>
      <c r="F21" s="26">
        <f>SUM(B21:E21)</f>
        <v>-1.9824445868962666</v>
      </c>
    </row>
    <row r="22" spans="1:6">
      <c r="A22" s="2" t="s">
        <v>39</v>
      </c>
      <c r="B22" s="26">
        <f>-((Dados!C22-'Z-Score'!$K$2)/'Z-Score'!$J$2)</f>
        <v>-0.8324236402953622</v>
      </c>
      <c r="C22" s="26">
        <f>(Dados!$E22-'Z-Score'!$K$3)/'Z-Score'!$J$3</f>
        <v>-0.90945631543997851</v>
      </c>
      <c r="D22" s="26">
        <f>-((Dados!F22-'Z-Score'!$K$4)/'Z-Score'!$J$4)</f>
        <v>-0.3316312156972826</v>
      </c>
      <c r="E22" s="26">
        <f>(Dados!D22-'Z-Score'!$K$5)/'Z-Score'!$J$5</f>
        <v>-0.90649235797204697</v>
      </c>
      <c r="F22" s="26">
        <f>SUM(B22:E22)</f>
        <v>-2.9800035294046703</v>
      </c>
    </row>
    <row r="23" spans="1:6">
      <c r="A23" s="2" t="s">
        <v>40</v>
      </c>
      <c r="B23" s="26">
        <f>-((Dados!C23-'Z-Score'!$K$2)/'Z-Score'!$J$2)</f>
        <v>-0.55608628429567286</v>
      </c>
      <c r="C23" s="26">
        <f>(Dados!$E23-'Z-Score'!$K$3)/'Z-Score'!$J$3</f>
        <v>-0.67623074743705358</v>
      </c>
      <c r="D23" s="26">
        <f>-((Dados!F23-'Z-Score'!$K$4)/'Z-Score'!$J$4)</f>
        <v>4.1453901962160415E-2</v>
      </c>
      <c r="E23" s="26">
        <f>(Dados!D23-'Z-Score'!$K$5)/'Z-Score'!$J$5</f>
        <v>-1.0764596750918058</v>
      </c>
      <c r="F23" s="26">
        <f>SUM(B23:E23)</f>
        <v>-2.2673228048623715</v>
      </c>
    </row>
    <row r="24" spans="1:6">
      <c r="A24" s="2" t="s">
        <v>41</v>
      </c>
      <c r="B24" s="26">
        <f>-((Dados!C24-'Z-Score'!$K$2)/'Z-Score'!$J$2)</f>
        <v>-1.0627047702951007</v>
      </c>
      <c r="C24" s="26">
        <f>(Dados!$E24-'Z-Score'!$K$3)/'Z-Score'!$J$3</f>
        <v>-1.1093639451567714</v>
      </c>
      <c r="D24" s="26">
        <f>-((Dados!F24-'Z-Score'!$K$4)/'Z-Score'!$J$4)</f>
        <v>-0.61144505394186488</v>
      </c>
      <c r="E24" s="26">
        <f>(Dados!D24-'Z-Score'!$K$5)/'Z-Score'!$J$5</f>
        <v>-1.2464269922115638</v>
      </c>
      <c r="F24" s="26">
        <f>SUM(B24:E24)</f>
        <v>-4.0299407616053013</v>
      </c>
    </row>
    <row r="25" spans="1:6">
      <c r="A25" s="2" t="s">
        <v>42</v>
      </c>
      <c r="B25" s="26">
        <f>-((Dados!C25-'Z-Score'!$K$2)/'Z-Score'!$J$2)</f>
        <v>-1.7535481602943239</v>
      </c>
      <c r="C25" s="26">
        <f>(Dados!$E25-'Z-Score'!$K$3)/'Z-Score'!$J$3</f>
        <v>-1.3759074514458289</v>
      </c>
      <c r="D25" s="26">
        <f>-((Dados!F25-'Z-Score'!$K$4)/'Z-Score'!$J$4)</f>
        <v>-2.197056803994498</v>
      </c>
      <c r="E25" s="26">
        <f>(Dados!D25-'Z-Score'!$K$5)/'Z-Score'!$J$5</f>
        <v>-1.4163943093313229</v>
      </c>
      <c r="F25" s="26">
        <f>SUM(B25:E25)</f>
        <v>-6.742906725065974</v>
      </c>
    </row>
    <row r="26" spans="1:6">
      <c r="A26" s="2" t="s">
        <v>43</v>
      </c>
      <c r="B26" s="26">
        <f>-((Dados!C26-'Z-Score'!$K$2)/'Z-Score'!$J$2)</f>
        <v>-1.33904212629479</v>
      </c>
      <c r="C26" s="26">
        <f>(Dados!$E26-'Z-Score'!$K$3)/'Z-Score'!$J$3</f>
        <v>-1.5758150811626219</v>
      </c>
      <c r="D26" s="26">
        <f>-((Dados!F26-'Z-Score'!$K$4)/'Z-Score'!$J$4)</f>
        <v>-0.98453017160130796</v>
      </c>
      <c r="E26" s="26">
        <f>(Dados!D26-'Z-Score'!$K$5)/'Z-Score'!$J$5</f>
        <v>-1.5863616264510818</v>
      </c>
      <c r="F26" s="26">
        <f>SUM(B26:E26)</f>
        <v>-5.4857490055098008</v>
      </c>
    </row>
    <row r="27" spans="1:6">
      <c r="A27" s="2" t="s">
        <v>44</v>
      </c>
      <c r="B27" s="26">
        <f>-((Dados!C27-'Z-Score'!$K$2)/'Z-Score'!$J$2)</f>
        <v>-1.6384075952944532</v>
      </c>
      <c r="C27" s="26">
        <f>(Dados!$E27-'Z-Score'!$K$3)/'Z-Score'!$J$3</f>
        <v>-1.7090868343071508</v>
      </c>
      <c r="D27" s="26">
        <f>-((Dados!F27-'Z-Score'!$K$4)/'Z-Score'!$J$4)</f>
        <v>-1.7307004069201941</v>
      </c>
      <c r="E27" s="26">
        <f>(Dados!D27-'Z-Score'!$K$5)/'Z-Score'!$J$5</f>
        <v>-1.7563289435708407</v>
      </c>
      <c r="F27" s="26">
        <f>SUM(B27:E27)</f>
        <v>-6.8345237800926393</v>
      </c>
    </row>
    <row r="28" spans="1:6">
      <c r="A28" s="2" t="s">
        <v>45</v>
      </c>
      <c r="B28" s="26">
        <f>-((Dados!C28-'Z-Score'!$K$2)/'Z-Score'!$J$2)</f>
        <v>-1.9838292902940649</v>
      </c>
      <c r="C28" s="26">
        <f>(Dados!$E28-'Z-Score'!$K$3)/'Z-Score'!$J$3</f>
        <v>-1.8090406491655471</v>
      </c>
      <c r="D28" s="26">
        <f>-((Dados!F28-'Z-Score'!$K$4)/'Z-Score'!$J$4)</f>
        <v>-2.47687064223908</v>
      </c>
      <c r="E28" s="26">
        <f>(Dados!D28-'Z-Score'!$K$5)/'Z-Score'!$J$5</f>
        <v>-1.9262962606905996</v>
      </c>
      <c r="F28" s="26">
        <f>SUM(B28:E28)</f>
        <v>-8.1960368423892902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2025-12-17T00:58:25Z</dcterms:created>
  <dcterms:modified xsi:type="dcterms:W3CDTF">2025-12-17T20:34:00Z</dcterms:modified>
  <cp:category/>
  <cp:contentStatus/>
</cp:coreProperties>
</file>